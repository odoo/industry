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1. Product Variants Import" sheetId="1" state="visible" r:id="rId1"/>
    <sheet name="2. Product Variants Export" sheetId="2" state="visible" r:id="rId2"/>
    <sheet name="3. Work Items Import" sheetId="3" state="visible" r:id="rId3"/>
    <sheet name="Units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<sst xmlns="http://schemas.openxmlformats.org/spreadsheetml/2006/main" count="83" uniqueCount="83">
  <si>
    <t>name</t>
  </si>
  <si>
    <t>default_code</t>
  </si>
  <si>
    <t>is_favorite</t>
  </si>
  <si>
    <t>type</t>
  </si>
  <si>
    <t>service_policy</t>
  </si>
  <si>
    <t>uom_id/name</t>
  </si>
  <si>
    <t>uom_id/id</t>
  </si>
  <si>
    <t>list_price</t>
  </si>
  <si>
    <t>standard_price</t>
  </si>
  <si>
    <t xml:space="preserve">Waste bags / rubble sacks</t>
  </si>
  <si>
    <t>04.3.30.020</t>
  </si>
  <si>
    <t>Goods</t>
  </si>
  <si>
    <t>Units</t>
  </si>
  <si>
    <t xml:space="preserve">Disposal / dumpster fee</t>
  </si>
  <si>
    <t>04.3.30.030</t>
  </si>
  <si>
    <t>Service</t>
  </si>
  <si>
    <t xml:space="preserve">Protective plastic sheet / masking</t>
  </si>
  <si>
    <t>04.3.30.040</t>
  </si>
  <si>
    <t>m²</t>
  </si>
  <si>
    <t xml:space="preserve">Labor Hour</t>
  </si>
  <si>
    <t>Hours</t>
  </si>
  <si>
    <t xml:space="preserve">Leveling mortar</t>
  </si>
  <si>
    <t>04.3.30.050</t>
  </si>
  <si>
    <t>Ton</t>
  </si>
  <si>
    <t xml:space="preserve">Primer / bonding agent</t>
  </si>
  <si>
    <t>04.3.30.060</t>
  </si>
  <si>
    <t>L</t>
  </si>
  <si>
    <t xml:space="preserve">Ceramic tiles – outdoor grade</t>
  </si>
  <si>
    <t>04.3.30.070</t>
  </si>
  <si>
    <t xml:space="preserve">Tile adhesive (flexible C2TE type)</t>
  </si>
  <si>
    <t>04.3.30.080</t>
  </si>
  <si>
    <t>Kg</t>
  </si>
  <si>
    <t xml:space="preserve">Tile spacers bag</t>
  </si>
  <si>
    <t>04.3.30.090</t>
  </si>
  <si>
    <t xml:space="preserve">Grout (waterproof)</t>
  </si>
  <si>
    <t>04.3.30.100</t>
  </si>
  <si>
    <t xml:space="preserve">Edge finishing profiles</t>
  </si>
  <si>
    <t>04.3.30.110</t>
  </si>
  <si>
    <t>m</t>
  </si>
  <si>
    <t xml:space="preserve">Cleaning solution / sponge kit</t>
  </si>
  <si>
    <t>04.3.30.120</t>
  </si>
  <si>
    <t xml:space="preserve">Deck Surface Demolition</t>
  </si>
  <si>
    <t xml:space="preserve">Based on Delivered Quantity (Manual)</t>
  </si>
  <si>
    <t xml:space="preserve">Deck Surface Preparation</t>
  </si>
  <si>
    <t xml:space="preserve">Deck Surface Installation</t>
  </si>
  <si>
    <t>id</t>
  </si>
  <si>
    <t>__export__.product_product_256_6d3cc0a0</t>
  </si>
  <si>
    <t>x_active</t>
  </si>
  <si>
    <t>x_name</t>
  </si>
  <si>
    <t>x_studio_product_product/name</t>
  </si>
  <si>
    <t>x_studio_product_product/id</t>
  </si>
  <si>
    <t>x_studio_unit_quantity</t>
  </si>
  <si>
    <t>x_studio_unit</t>
  </si>
  <si>
    <t>x_studio_is_template</t>
  </si>
  <si>
    <t>x_bill_of_materials_line_ids_d7b6f/product_product/name</t>
  </si>
  <si>
    <t>x_bill_of_materials_line_ids_d7b6f/x_studio_product_product/id</t>
  </si>
  <si>
    <t>x_bill_of_materials_line_ids_d7b6f/x_studio_quantity</t>
  </si>
  <si>
    <t>x_bill_of_materials_line_ids_d7b6f/x_studio_unit_cost</t>
  </si>
  <si>
    <t>x_bill_of_materials_line_ids_d7b6f/x_studio_unit_price</t>
  </si>
  <si>
    <t>uom.product_uom_unit</t>
  </si>
  <si>
    <t>uom.product_uom_hour</t>
  </si>
  <si>
    <t>mm</t>
  </si>
  <si>
    <t>uom.product_uom_millimeter</t>
  </si>
  <si>
    <t>uom.product_uom_square_meter</t>
  </si>
  <si>
    <t>ml</t>
  </si>
  <si>
    <t>uom.product_uom_milliliter</t>
  </si>
  <si>
    <t>g</t>
  </si>
  <si>
    <t>uom.product_uom_gram</t>
  </si>
  <si>
    <t xml:space="preserve">Pack of 6</t>
  </si>
  <si>
    <t>uom.product_uom_pack_6</t>
  </si>
  <si>
    <t>Days</t>
  </si>
  <si>
    <t>uom.product_uom_day</t>
  </si>
  <si>
    <t xml:space="preserve">Pallet of 48</t>
  </si>
  <si>
    <t>construction.uom_uom_28</t>
  </si>
  <si>
    <t xml:space="preserve">Pallet of 96</t>
  </si>
  <si>
    <t>construction.uom_uom_27</t>
  </si>
  <si>
    <t>uom.product_uom_meter</t>
  </si>
  <si>
    <t>km</t>
  </si>
  <si>
    <t>uom.product_uom_km</t>
  </si>
  <si>
    <t>uom.product_uom_litre</t>
  </si>
  <si>
    <t>kg</t>
  </si>
  <si>
    <t>uom.product_uom_kgm</t>
  </si>
  <si>
    <t>uom.product_uom_ton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</si>
</sst>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4" xfId="0" applyNumberFormat="1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1" max="1" width="34.140625"/>
    <col customWidth="1" min="2" max="2" width="15.28125"/>
    <col customWidth="1" min="3" max="3" width="12.28125"/>
    <col customWidth="1" min="4" max="4" width="11.140625"/>
    <col customWidth="1" min="5" max="5" width="36.421875"/>
    <col customWidth="1" min="6" max="6" width="15.8515625"/>
    <col customWidth="1" min="7" max="7" width="34.00390625"/>
    <col customWidth="1" min="8" max="9" width="15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>
      <c r="A2" s="2" t="s">
        <v>9</v>
      </c>
      <c r="B2" s="2" t="s">
        <v>10</v>
      </c>
      <c r="C2" s="2" t="b">
        <v>0</v>
      </c>
      <c r="D2" s="3" t="s">
        <v>11</v>
      </c>
      <c r="E2" s="2"/>
      <c r="F2" s="4" t="s">
        <v>12</v>
      </c>
      <c r="G2" s="4" t="str">
        <f>IFERROR(VLOOKUP(F2,Units!A:B,2,FALSE),"")</f>
        <v>uom.product_uom_unit</v>
      </c>
      <c r="H2" s="4">
        <v>3</v>
      </c>
      <c r="I2" s="4">
        <v>2</v>
      </c>
      <c r="J2" s="4"/>
    </row>
    <row r="3" ht="14.25">
      <c r="A3" s="2" t="s">
        <v>13</v>
      </c>
      <c r="B3" s="2" t="s">
        <v>14</v>
      </c>
      <c r="C3" s="2" t="b">
        <v>0</v>
      </c>
      <c r="D3" s="3" t="s">
        <v>15</v>
      </c>
      <c r="E3" s="2"/>
      <c r="F3" s="4" t="s">
        <v>12</v>
      </c>
      <c r="G3" s="4" t="str">
        <f>IFERROR(VLOOKUP(F3,Units!A:B,2,FALSE),"")</f>
        <v>uom.product_uom_unit</v>
      </c>
      <c r="H3" s="4">
        <v>150</v>
      </c>
      <c r="I3" s="4">
        <v>120</v>
      </c>
      <c r="J3" s="4"/>
    </row>
    <row r="4" ht="14.25">
      <c r="A4" s="2" t="s">
        <v>16</v>
      </c>
      <c r="B4" s="2" t="s">
        <v>17</v>
      </c>
      <c r="C4" s="2" t="b">
        <v>0</v>
      </c>
      <c r="D4" s="2" t="s">
        <v>11</v>
      </c>
      <c r="E4" s="2"/>
      <c r="F4" s="2" t="s">
        <v>18</v>
      </c>
      <c r="G4" s="4" t="str">
        <f>IFERROR(VLOOKUP(F4,Units!A:B,2,FALSE),"")</f>
        <v>uom.product_uom_square_meter</v>
      </c>
      <c r="H4" s="4">
        <v>1.5</v>
      </c>
      <c r="I4" s="4">
        <v>1</v>
      </c>
      <c r="J4" s="4"/>
    </row>
    <row r="5" ht="14.25">
      <c r="A5" s="3" t="s">
        <v>19</v>
      </c>
      <c r="B5" s="2"/>
      <c r="C5" s="2" t="b">
        <v>0</v>
      </c>
      <c r="D5" s="2" t="s">
        <v>15</v>
      </c>
      <c r="E5" s="2"/>
      <c r="F5" s="5" t="s">
        <v>20</v>
      </c>
      <c r="G5" s="4" t="str">
        <f>IFERROR(VLOOKUP(F5,Units!A:B,2,FALSE),"")</f>
        <v>uom.product_uom_hour</v>
      </c>
      <c r="H5" s="4">
        <v>50</v>
      </c>
      <c r="I5" s="4">
        <v>30</v>
      </c>
      <c r="J5" s="4"/>
    </row>
    <row r="6" ht="14.25">
      <c r="A6" s="2" t="s">
        <v>21</v>
      </c>
      <c r="B6" s="2" t="s">
        <v>22</v>
      </c>
      <c r="C6" s="2" t="b">
        <v>0</v>
      </c>
      <c r="D6" s="2" t="s">
        <v>11</v>
      </c>
      <c r="E6" s="2"/>
      <c r="F6" s="5" t="s">
        <v>23</v>
      </c>
      <c r="G6" s="4" t="str">
        <f>IFERROR(VLOOKUP(F6,Units!A:B,2,FALSE),"")</f>
        <v>uom.product_uom_ton</v>
      </c>
      <c r="H6" s="4">
        <v>120</v>
      </c>
      <c r="I6" s="4">
        <v>90</v>
      </c>
      <c r="J6" s="4"/>
    </row>
    <row r="7" ht="14.25">
      <c r="A7" s="2" t="s">
        <v>24</v>
      </c>
      <c r="B7" s="2" t="s">
        <v>25</v>
      </c>
      <c r="C7" s="2" t="b">
        <v>0</v>
      </c>
      <c r="D7" s="2" t="s">
        <v>11</v>
      </c>
      <c r="E7" s="2"/>
      <c r="F7" s="5" t="s">
        <v>26</v>
      </c>
      <c r="G7" s="4" t="str">
        <f>IFERROR(VLOOKUP(F7,Units!A:B,2,FALSE),"")</f>
        <v>uom.product_uom_litre</v>
      </c>
      <c r="H7" s="4">
        <v>9</v>
      </c>
      <c r="I7" s="4">
        <v>6</v>
      </c>
      <c r="J7" s="4"/>
    </row>
    <row r="8" ht="14.25">
      <c r="A8" s="2" t="s">
        <v>27</v>
      </c>
      <c r="B8" s="2" t="s">
        <v>28</v>
      </c>
      <c r="C8" s="2" t="b">
        <v>0</v>
      </c>
      <c r="D8" s="2" t="s">
        <v>11</v>
      </c>
      <c r="E8" s="2"/>
      <c r="F8" s="5" t="s">
        <v>18</v>
      </c>
      <c r="G8" s="4" t="str">
        <f>IFERROR(VLOOKUP(F8,Units!A:B,2,FALSE),"")</f>
        <v>uom.product_uom_square_meter</v>
      </c>
      <c r="H8" s="4">
        <v>40</v>
      </c>
      <c r="I8" s="4">
        <v>25</v>
      </c>
      <c r="J8" s="4"/>
    </row>
    <row r="9" ht="14.25">
      <c r="A9" s="2" t="s">
        <v>29</v>
      </c>
      <c r="B9" s="2" t="s">
        <v>30</v>
      </c>
      <c r="C9" s="2" t="b">
        <v>0</v>
      </c>
      <c r="D9" s="2" t="s">
        <v>11</v>
      </c>
      <c r="E9" s="2"/>
      <c r="F9" s="5" t="s">
        <v>31</v>
      </c>
      <c r="G9" s="4" t="str">
        <f>IFERROR(VLOOKUP(F9,Units!A:B,2,FALSE),"")</f>
        <v>uom.product_uom_kgm</v>
      </c>
      <c r="H9" s="4">
        <v>1.5</v>
      </c>
      <c r="I9" s="4">
        <v>0.90000000000000002</v>
      </c>
      <c r="J9" s="4"/>
    </row>
    <row r="10" ht="14.25">
      <c r="A10" s="2" t="s">
        <v>32</v>
      </c>
      <c r="B10" s="2" t="s">
        <v>33</v>
      </c>
      <c r="C10" s="2" t="b">
        <v>0</v>
      </c>
      <c r="D10" s="2" t="s">
        <v>11</v>
      </c>
      <c r="E10" s="2"/>
      <c r="F10" s="5" t="s">
        <v>12</v>
      </c>
      <c r="G10" s="4" t="str">
        <f>IFERROR(VLOOKUP(F10,Units!A:B,2,FALSE),"")</f>
        <v>uom.product_uom_unit</v>
      </c>
      <c r="H10" s="4">
        <v>6</v>
      </c>
      <c r="I10" s="4">
        <v>4</v>
      </c>
      <c r="J10" s="4"/>
    </row>
    <row r="11" ht="14.25">
      <c r="A11" s="2" t="s">
        <v>34</v>
      </c>
      <c r="B11" s="2" t="s">
        <v>35</v>
      </c>
      <c r="C11" s="2" t="b">
        <v>0</v>
      </c>
      <c r="D11" s="2" t="s">
        <v>11</v>
      </c>
      <c r="E11" s="2"/>
      <c r="F11" s="5" t="s">
        <v>31</v>
      </c>
      <c r="G11" s="4" t="str">
        <f>IFERROR(VLOOKUP(F11,Units!A:B,2,FALSE),"")</f>
        <v>uom.product_uom_kgm</v>
      </c>
      <c r="H11" s="4">
        <v>5</v>
      </c>
      <c r="I11" s="4">
        <v>3</v>
      </c>
      <c r="J11" s="4"/>
    </row>
    <row r="12" ht="14.25">
      <c r="A12" s="2" t="s">
        <v>36</v>
      </c>
      <c r="B12" s="2" t="s">
        <v>37</v>
      </c>
      <c r="C12" s="2" t="b">
        <v>0</v>
      </c>
      <c r="D12" s="2" t="s">
        <v>11</v>
      </c>
      <c r="E12" s="2"/>
      <c r="F12" s="5" t="s">
        <v>38</v>
      </c>
      <c r="G12" s="4" t="str">
        <f>IFERROR(VLOOKUP(F12,Units!A:B,2,FALSE),"")</f>
        <v>uom.product_uom_meter</v>
      </c>
      <c r="H12" s="4">
        <v>18</v>
      </c>
      <c r="I12" s="4">
        <v>12</v>
      </c>
      <c r="J12" s="4"/>
    </row>
    <row r="13" ht="14.25">
      <c r="A13" s="2" t="s">
        <v>39</v>
      </c>
      <c r="B13" s="2" t="s">
        <v>40</v>
      </c>
      <c r="C13" s="2" t="b">
        <v>0</v>
      </c>
      <c r="D13" s="2" t="s">
        <v>11</v>
      </c>
      <c r="E13" s="2"/>
      <c r="F13" s="2" t="s">
        <v>12</v>
      </c>
      <c r="G13" s="4" t="str">
        <f>IFERROR(VLOOKUP(F13,Units!A:B,2,FALSE),"")</f>
        <v>uom.product_uom_unit</v>
      </c>
      <c r="H13" s="4">
        <v>45</v>
      </c>
      <c r="I13" s="4">
        <v>30</v>
      </c>
      <c r="J13" s="4"/>
    </row>
    <row r="14" ht="14.25">
      <c r="A14" s="2" t="s">
        <v>41</v>
      </c>
      <c r="B14" s="2"/>
      <c r="C14" s="6" t="b">
        <v>1</v>
      </c>
      <c r="D14" s="6" t="s">
        <v>15</v>
      </c>
      <c r="E14" s="6" t="s">
        <v>42</v>
      </c>
      <c r="F14" s="6" t="s">
        <v>18</v>
      </c>
      <c r="G14" s="4" t="str">
        <f>IFERROR(VLOOKUP(F14,Units!A:B,2,FALSE),"")</f>
        <v>uom.product_uom_square_meter</v>
      </c>
      <c r="H14" s="4">
        <v>8.5999999999999996</v>
      </c>
      <c r="I14" s="4">
        <v>13.300000000000001</v>
      </c>
    </row>
    <row r="15" ht="14.25">
      <c r="A15" s="5" t="s">
        <v>43</v>
      </c>
      <c r="B15" s="2"/>
      <c r="C15" s="6" t="b">
        <v>1</v>
      </c>
      <c r="D15" s="6" t="s">
        <v>15</v>
      </c>
      <c r="E15" s="6" t="s">
        <v>42</v>
      </c>
      <c r="F15" s="6" t="s">
        <v>18</v>
      </c>
      <c r="G15" s="4" t="str">
        <f>IFERROR(VLOOKUP(F15,Units!A:B,2,FALSE),"")</f>
        <v>uom.product_uom_square_meter</v>
      </c>
      <c r="H15" s="4">
        <v>12.6</v>
      </c>
      <c r="I15" s="4">
        <v>19.399999999999999</v>
      </c>
    </row>
    <row r="16" ht="14.25">
      <c r="A16" s="5" t="s">
        <v>44</v>
      </c>
      <c r="B16" s="2"/>
      <c r="C16" s="6" t="b">
        <v>1</v>
      </c>
      <c r="D16" s="6" t="s">
        <v>15</v>
      </c>
      <c r="E16" s="6" t="s">
        <v>42</v>
      </c>
      <c r="F16" s="6" t="s">
        <v>18</v>
      </c>
      <c r="G16" s="4" t="str">
        <f>IFERROR(VLOOKUP(F16,Units!A:B,2,FALSE),"")</f>
        <v>uom.product_uom_square_meter</v>
      </c>
      <c r="H16" s="4">
        <v>63.350000000000001</v>
      </c>
      <c r="I16" s="4">
        <v>103.5</v>
      </c>
    </row>
    <row r="17" ht="14.25"/>
    <row r="18" ht="14.25"/>
    <row r="19" ht="14.25"/>
    <row r="20" ht="14.25"/>
    <row r="21" ht="14.25"/>
    <row r="22" ht="14.25"/>
    <row r="23" ht="14.25"/>
    <row r="24" ht="14.25"/>
    <row r="26" ht="14.25"/>
    <row r="27" ht="14.25"/>
    <row r="28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customWidth="1" min="1" max="1" width="42.8515625"/>
    <col customWidth="1" min="2" max="2" width="44.28125"/>
  </cols>
  <sheetData>
    <row r="1" ht="14.25">
      <c r="A1" s="1" t="s">
        <v>0</v>
      </c>
      <c r="B1" s="1" t="s">
        <v>45</v>
      </c>
    </row>
    <row r="2" ht="14.25">
      <c r="A2" s="2" t="s">
        <v>41</v>
      </c>
      <c r="B2" s="2" t="s">
        <v>46</v>
      </c>
    </row>
    <row r="3" ht="14.25">
      <c r="A3" s="2"/>
      <c r="B3" s="2"/>
    </row>
    <row r="4" ht="14.25">
      <c r="A4" s="2"/>
      <c r="B4" s="2"/>
    </row>
    <row r="5" ht="14.25">
      <c r="A5" s="2"/>
      <c r="B5" s="2"/>
    </row>
    <row r="6" ht="14.25">
      <c r="A6" s="2"/>
      <c r="B6" s="2"/>
    </row>
    <row r="7" ht="14.25">
      <c r="A7" s="2"/>
      <c r="B7" s="2"/>
    </row>
    <row r="8" ht="14.25">
      <c r="A8" s="2"/>
      <c r="B8" s="2"/>
    </row>
    <row r="9" ht="14.25">
      <c r="A9" s="2"/>
      <c r="B9" s="2"/>
    </row>
    <row r="10" ht="14.25">
      <c r="A10" s="2"/>
      <c r="B10" s="2"/>
    </row>
    <row r="11" ht="14.25">
      <c r="A11" s="2"/>
      <c r="B11" s="2"/>
    </row>
    <row r="12" ht="14.25">
      <c r="A12" s="2"/>
      <c r="B12" s="2"/>
    </row>
    <row r="13" ht="14.25">
      <c r="A13" s="2"/>
      <c r="B13" s="2"/>
    </row>
    <row r="14" ht="14.25">
      <c r="A14" s="2"/>
      <c r="B14" s="2"/>
    </row>
    <row r="15" ht="14.25">
      <c r="A15" s="2"/>
      <c r="B15" s="2"/>
    </row>
    <row r="16" ht="14.25">
      <c r="A16" s="2"/>
      <c r="B16" s="2"/>
    </row>
    <row r="17" ht="14.25">
      <c r="A17" s="2"/>
      <c r="B17" s="2"/>
    </row>
    <row r="18" ht="14.25">
      <c r="A18" s="2"/>
      <c r="B18" s="2"/>
    </row>
    <row r="19" ht="14.25">
      <c r="A19" s="2"/>
      <c r="B19" s="2"/>
    </row>
    <row r="20" ht="14.25">
      <c r="A20" s="2"/>
      <c r="B20" s="2"/>
    </row>
    <row r="21" ht="14.25">
      <c r="A21" s="2"/>
      <c r="B21" s="2"/>
    </row>
    <row r="22" ht="14.25">
      <c r="A22" s="2"/>
      <c r="B22" s="2"/>
    </row>
    <row r="23" ht="14.25">
      <c r="A23" s="2"/>
      <c r="B23" s="2"/>
    </row>
    <row r="24" ht="14.25">
      <c r="A24" s="2"/>
      <c r="B24" s="2"/>
    </row>
    <row r="25" ht="14.25">
      <c r="A25" s="2"/>
      <c r="B25" s="2"/>
    </row>
    <row r="26" ht="14.25">
      <c r="A26" s="2"/>
      <c r="B26" s="2"/>
    </row>
    <row r="27" ht="14.25">
      <c r="A27" s="2"/>
      <c r="B27" s="2"/>
    </row>
    <row r="28" ht="14.25">
      <c r="A28" s="2"/>
      <c r="B28" s="2"/>
    </row>
    <row r="29" ht="14.25">
      <c r="A29" s="2"/>
      <c r="B29" s="2"/>
    </row>
    <row r="30" ht="14.25">
      <c r="A30" s="2"/>
      <c r="B30" s="2"/>
    </row>
    <row r="31" ht="14.25">
      <c r="A31" s="2"/>
      <c r="B31" s="2"/>
    </row>
    <row r="32" ht="14.25">
      <c r="A32" s="2"/>
      <c r="B32" s="2"/>
    </row>
    <row r="33" ht="14.25">
      <c r="A33" s="2"/>
      <c r="B33" s="2"/>
    </row>
    <row r="34" ht="14.25">
      <c r="A34" s="2"/>
      <c r="B34" s="2"/>
    </row>
    <row r="35" ht="14.25">
      <c r="A35" s="2"/>
      <c r="B35" s="2"/>
    </row>
    <row r="36" ht="14.25">
      <c r="A36" s="2"/>
      <c r="B36" s="2"/>
    </row>
    <row r="37" ht="14.25">
      <c r="A37" s="2"/>
      <c r="B37" s="2"/>
    </row>
    <row r="38" ht="14.25">
      <c r="A38" s="2"/>
      <c r="B38" s="2"/>
    </row>
    <row r="39" ht="14.25">
      <c r="A39" s="2"/>
      <c r="B39" s="2"/>
    </row>
    <row r="40" ht="14.25">
      <c r="A40" s="2"/>
      <c r="B40" s="2"/>
    </row>
    <row r="41" ht="14.25">
      <c r="A41" s="2"/>
      <c r="B41" s="2"/>
    </row>
    <row r="42" ht="14.25">
      <c r="A42" s="2"/>
      <c r="B42" s="2"/>
    </row>
    <row r="43" ht="14.25">
      <c r="A43" s="2"/>
      <c r="B43" s="2"/>
    </row>
    <row r="44" ht="14.25">
      <c r="A44" s="2"/>
      <c r="B44" s="2"/>
    </row>
    <row r="45" ht="14.25">
      <c r="A45" s="2"/>
      <c r="B45" s="2"/>
    </row>
    <row r="46" ht="14.25">
      <c r="A46" s="2"/>
      <c r="B46" s="2"/>
    </row>
    <row r="47" ht="14.25">
      <c r="A47" s="2"/>
      <c r="B47" s="2"/>
    </row>
    <row r="48" ht="14.25">
      <c r="A48" s="2"/>
      <c r="B48" s="2"/>
    </row>
    <row r="49" ht="14.25">
      <c r="A49" s="2"/>
      <c r="B49" s="2"/>
    </row>
    <row r="50" ht="14.25">
      <c r="A50" s="2"/>
      <c r="B50" s="2"/>
    </row>
    <row r="51" ht="14.25">
      <c r="A51" s="2"/>
      <c r="B51" s="2"/>
    </row>
    <row r="52" ht="14.25">
      <c r="A52" s="2"/>
      <c r="B52" s="2"/>
    </row>
    <row r="53" ht="14.25">
      <c r="A53" s="2"/>
      <c r="B53" s="2"/>
    </row>
    <row r="54" ht="14.25">
      <c r="A54" s="2"/>
      <c r="B54" s="2"/>
    </row>
    <row r="55" ht="14.25">
      <c r="A55" s="2"/>
      <c r="B55" s="2"/>
    </row>
    <row r="56" ht="14.25">
      <c r="A56" s="2"/>
      <c r="B56" s="2"/>
    </row>
    <row r="57" ht="14.25">
      <c r="A57" s="2"/>
      <c r="B57" s="2"/>
    </row>
    <row r="58" ht="14.25">
      <c r="A58" s="2"/>
      <c r="B58" s="2"/>
    </row>
    <row r="59" ht="14.25">
      <c r="A59" s="2"/>
      <c r="B59" s="2"/>
    </row>
    <row r="60" ht="14.25">
      <c r="A60" s="2"/>
      <c r="B60" s="2"/>
    </row>
    <row r="61" ht="14.25">
      <c r="A61" s="2"/>
      <c r="B61" s="2"/>
    </row>
    <row r="62" ht="14.25">
      <c r="A62" s="2"/>
      <c r="B62" s="2"/>
    </row>
    <row r="63" ht="14.25">
      <c r="A63" s="2"/>
      <c r="B63" s="2"/>
    </row>
    <row r="64" ht="14.25">
      <c r="A64" s="2"/>
      <c r="B64" s="2"/>
    </row>
    <row r="65" ht="14.25">
      <c r="A65" s="2"/>
      <c r="B65" s="2"/>
    </row>
    <row r="66" ht="14.25">
      <c r="A66" s="2"/>
      <c r="B66" s="2"/>
    </row>
    <row r="67" ht="14.25">
      <c r="A67" s="2"/>
      <c r="B67" s="2"/>
    </row>
    <row r="68" ht="14.25">
      <c r="A68" s="2"/>
      <c r="B68" s="2"/>
    </row>
    <row r="69" ht="14.25">
      <c r="A69" s="2"/>
      <c r="B69" s="2"/>
    </row>
    <row r="70" ht="14.25">
      <c r="A70" s="2"/>
      <c r="B70" s="2"/>
    </row>
    <row r="71" ht="14.25">
      <c r="A71" s="2"/>
      <c r="B71" s="2"/>
    </row>
    <row r="72" ht="14.25">
      <c r="A72" s="2"/>
      <c r="B72" s="2"/>
    </row>
    <row r="73" ht="14.25">
      <c r="A73" s="2"/>
      <c r="B73" s="2"/>
    </row>
    <row r="74" ht="14.25">
      <c r="A74" s="2"/>
      <c r="B74" s="2"/>
    </row>
    <row r="75" ht="14.25">
      <c r="A75" s="2"/>
      <c r="B75" s="2"/>
    </row>
    <row r="76" ht="14.25">
      <c r="A76" s="2"/>
      <c r="B76" s="2"/>
    </row>
    <row r="77" ht="14.25">
      <c r="A77" s="2"/>
      <c r="B77" s="2"/>
    </row>
    <row r="78" ht="14.25">
      <c r="A78" s="2"/>
      <c r="B78" s="2"/>
    </row>
    <row r="79" ht="14.25">
      <c r="A79" s="2"/>
      <c r="B79" s="2"/>
    </row>
    <row r="80" ht="14.25">
      <c r="A80" s="2"/>
      <c r="B80" s="2"/>
    </row>
    <row r="81" ht="14.25">
      <c r="A81" s="2"/>
      <c r="B81" s="2"/>
    </row>
    <row r="82" ht="14.25">
      <c r="A82" s="2"/>
      <c r="B82" s="2"/>
    </row>
    <row r="83" ht="14.25">
      <c r="A83" s="2"/>
      <c r="B83" s="2"/>
    </row>
    <row r="84" ht="14.25">
      <c r="A84" s="2"/>
      <c r="B84" s="2"/>
    </row>
    <row r="85" ht="14.25">
      <c r="A85" s="2"/>
      <c r="B85" s="2"/>
    </row>
    <row r="86" ht="14.25">
      <c r="A86" s="2"/>
      <c r="B86" s="2"/>
    </row>
    <row r="87" ht="14.25">
      <c r="A87" s="2"/>
      <c r="B87" s="2"/>
    </row>
    <row r="88" ht="14.25">
      <c r="A88" s="2"/>
      <c r="B88" s="2"/>
    </row>
    <row r="89" ht="14.25">
      <c r="A89" s="2"/>
      <c r="B89" s="2"/>
    </row>
    <row r="90" ht="14.25">
      <c r="A90" s="2"/>
      <c r="B90" s="2"/>
    </row>
    <row r="91" ht="14.25">
      <c r="A91" s="2"/>
      <c r="B91" s="2"/>
    </row>
    <row r="92" ht="14.25">
      <c r="A92" s="2"/>
      <c r="B92" s="2"/>
    </row>
    <row r="93" ht="14.25">
      <c r="A93" s="2"/>
      <c r="B93" s="2"/>
    </row>
    <row r="94" ht="14.25">
      <c r="A94" s="2"/>
      <c r="B94" s="2"/>
    </row>
    <row r="95" ht="14.25">
      <c r="A95" s="2"/>
      <c r="B95" s="2"/>
    </row>
    <row r="96" ht="14.25">
      <c r="A96" s="2"/>
      <c r="B96" s="2"/>
    </row>
    <row r="97" ht="14.25">
      <c r="A97" s="2"/>
      <c r="B97" s="2"/>
    </row>
    <row r="98" ht="14.25">
      <c r="A98" s="2"/>
      <c r="B98" s="2"/>
    </row>
    <row r="99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7.8515625"/>
    <col bestFit="1" customWidth="1" min="2" max="2" width="22.140625"/>
    <col bestFit="1" customWidth="1" min="3" max="3" width="24.00390625"/>
    <col customWidth="1" min="4" max="4" width="24.00390625"/>
    <col bestFit="1" customWidth="1" min="5" max="5" width="21.28125"/>
    <col bestFit="1" customWidth="1" min="6" max="6" width="12.8515625"/>
    <col bestFit="1" customWidth="1" min="7" max="7" width="19.57421875"/>
    <col customWidth="1" min="8" max="8" width="30.7109375"/>
    <col customWidth="1" min="9" max="9" width="34.28125"/>
    <col customWidth="1" min="10" max="12" width="30.7109375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 ht="28.5">
      <c r="A2" s="2" t="b">
        <v>1</v>
      </c>
      <c r="B2" s="2" t="s">
        <v>41</v>
      </c>
      <c r="C2" s="3" t="s">
        <v>41</v>
      </c>
      <c r="D2" s="3" t="str">
        <f>IFERROR(VLOOKUP(C2,'2. Product Variants Export'!A:B,2,FALSE),"")</f>
        <v>__export__.product_product_256_6d3cc0a0</v>
      </c>
      <c r="E2" s="4">
        <v>1</v>
      </c>
      <c r="F2" s="2" t="s">
        <v>18</v>
      </c>
      <c r="G2" s="2" t="b">
        <v>1</v>
      </c>
      <c r="H2" s="2" t="s">
        <v>9</v>
      </c>
      <c r="I2" s="2" t="str">
        <f>IFERROR(VLOOKUP(H2,'2. Product Variants Export'!A:B,2,FALSE),"")</f>
        <v/>
      </c>
      <c r="J2" s="4">
        <v>0.050000000000000003</v>
      </c>
      <c r="K2" s="4">
        <v>2</v>
      </c>
      <c r="L2" s="4">
        <v>3</v>
      </c>
    </row>
    <row r="3" ht="28.5">
      <c r="A3" s="2"/>
      <c r="B3" s="2"/>
      <c r="C3" s="2"/>
      <c r="D3" s="2"/>
      <c r="E3" s="2"/>
      <c r="F3" s="2"/>
      <c r="G3" s="2"/>
      <c r="H3" s="2" t="s">
        <v>13</v>
      </c>
      <c r="I3" s="2" t="str">
        <f>IFERROR(VLOOKUP(H3,'2. Product Variants Export'!A:B,2,FALSE),"")</f>
        <v/>
      </c>
      <c r="J3" s="4">
        <v>0.02</v>
      </c>
      <c r="K3" s="4">
        <v>120</v>
      </c>
      <c r="L3" s="4">
        <v>150</v>
      </c>
    </row>
    <row r="4">
      <c r="A4" s="2"/>
      <c r="B4" s="2"/>
      <c r="C4" s="2"/>
      <c r="D4" s="2"/>
      <c r="E4" s="2"/>
      <c r="F4" s="2"/>
      <c r="G4" s="2"/>
      <c r="H4" s="2" t="s">
        <v>16</v>
      </c>
      <c r="I4" s="2" t="str">
        <f>IFERROR(VLOOKUP(H4,'2. Product Variants Export'!A:B,2,FALSE),"")</f>
        <v/>
      </c>
      <c r="J4" s="4">
        <v>0.10000000000000001</v>
      </c>
      <c r="K4" s="4">
        <v>1</v>
      </c>
      <c r="L4" s="4">
        <v>1.5</v>
      </c>
    </row>
    <row r="5" ht="14.25">
      <c r="B5" s="7"/>
      <c r="H5" s="2" t="s">
        <v>19</v>
      </c>
      <c r="I5" s="2" t="str">
        <f>IFERROR(VLOOKUP(H5,'2. Product Variants Export'!A:B,2,FALSE),"")</f>
        <v/>
      </c>
      <c r="J5" s="4">
        <v>0.20000000000000001</v>
      </c>
      <c r="K5" s="4">
        <v>30</v>
      </c>
      <c r="L5" s="4">
        <v>50</v>
      </c>
    </row>
    <row r="6" ht="14.25">
      <c r="A6" s="2" t="b">
        <v>1</v>
      </c>
      <c r="B6" t="s">
        <v>43</v>
      </c>
      <c r="C6" t="s">
        <v>43</v>
      </c>
      <c r="D6" s="6" t="str">
        <f>IFERROR(VLOOKUP(C6,'2. Product Variants Export'!A:B,2,FALSE),"")</f>
        <v/>
      </c>
      <c r="E6" s="4">
        <v>1</v>
      </c>
      <c r="F6" s="2" t="s">
        <v>18</v>
      </c>
      <c r="G6" s="2" t="b">
        <v>1</v>
      </c>
      <c r="H6" s="2" t="s">
        <v>21</v>
      </c>
      <c r="I6" s="2" t="str">
        <f>IFERROR(VLOOKUP(H6,'2. Product Variants Export'!A:B,2,FALSE),"")</f>
        <v/>
      </c>
      <c r="J6" s="4">
        <v>0.050000000000000003</v>
      </c>
      <c r="K6" s="4">
        <v>90</v>
      </c>
      <c r="L6" s="4">
        <v>120</v>
      </c>
    </row>
    <row r="7" ht="14.25">
      <c r="B7" s="7"/>
      <c r="H7" s="2" t="s">
        <v>24</v>
      </c>
      <c r="I7" s="2" t="str">
        <f>IFERROR(VLOOKUP(H7,'2. Product Variants Export'!A:B,2,FALSE),"")</f>
        <v/>
      </c>
      <c r="J7" s="4">
        <v>0.10000000000000001</v>
      </c>
      <c r="K7" s="4">
        <v>6</v>
      </c>
      <c r="L7" s="4">
        <v>9</v>
      </c>
    </row>
    <row r="8" ht="14.25">
      <c r="H8" s="2" t="s">
        <v>19</v>
      </c>
      <c r="I8" s="2" t="str">
        <f>IFERROR(VLOOKUP(H8,'2. Product Variants Export'!A:B,2,FALSE),"")</f>
        <v/>
      </c>
      <c r="J8" s="4">
        <v>0.25</v>
      </c>
      <c r="K8" s="4">
        <v>30</v>
      </c>
      <c r="L8" s="4">
        <v>50</v>
      </c>
    </row>
    <row r="9" ht="14.25">
      <c r="A9" s="2" t="b">
        <v>1</v>
      </c>
      <c r="B9" t="s">
        <v>44</v>
      </c>
      <c r="C9" t="s">
        <v>44</v>
      </c>
      <c r="D9" s="6" t="str">
        <f>IFERROR(VLOOKUP(C9,'2. Product Variants Export'!A:B,2,FALSE),"")</f>
        <v/>
      </c>
      <c r="E9" s="4">
        <v>1</v>
      </c>
      <c r="F9" s="2" t="s">
        <v>18</v>
      </c>
      <c r="G9" s="2" t="b">
        <v>1</v>
      </c>
      <c r="H9" s="2" t="s">
        <v>27</v>
      </c>
      <c r="I9" s="2" t="str">
        <f>IFERROR(VLOOKUP(H9,'2. Product Variants Export'!A:B,2,FALSE),"")</f>
        <v/>
      </c>
      <c r="J9" s="4">
        <v>1.05</v>
      </c>
      <c r="K9" s="4">
        <v>25</v>
      </c>
      <c r="L9" s="4">
        <v>40</v>
      </c>
    </row>
    <row r="10" ht="14.25">
      <c r="H10" s="2" t="s">
        <v>29</v>
      </c>
      <c r="I10" s="2" t="str">
        <f>IFERROR(VLOOKUP(H10,'2. Product Variants Export'!A:B,2,FALSE),"")</f>
        <v/>
      </c>
      <c r="J10" s="4">
        <v>4</v>
      </c>
      <c r="K10" s="4">
        <v>0.90000000000000002</v>
      </c>
      <c r="L10" s="4">
        <v>1.5</v>
      </c>
    </row>
    <row r="11" ht="14.25">
      <c r="H11" s="2" t="s">
        <v>32</v>
      </c>
      <c r="I11" s="2" t="str">
        <f>IFERROR(VLOOKUP(H11,'2. Product Variants Export'!A:B,2,FALSE),"")</f>
        <v/>
      </c>
      <c r="J11" s="4">
        <v>0.050000000000000003</v>
      </c>
      <c r="K11" s="4">
        <v>4</v>
      </c>
      <c r="L11" s="4">
        <v>6</v>
      </c>
    </row>
    <row r="12" ht="14.25">
      <c r="H12" s="2" t="s">
        <v>34</v>
      </c>
      <c r="I12" s="2" t="str">
        <f>IFERROR(VLOOKUP(H12,'2. Product Variants Export'!A:B,2,FALSE),"")</f>
        <v/>
      </c>
      <c r="J12" s="4">
        <v>0.5</v>
      </c>
      <c r="K12" s="4">
        <v>3</v>
      </c>
      <c r="L12" s="4">
        <v>5</v>
      </c>
    </row>
    <row r="13" ht="14.25">
      <c r="H13" s="2" t="s">
        <v>36</v>
      </c>
      <c r="I13" s="2" t="str">
        <f>IFERROR(VLOOKUP(H13,'2. Product Variants Export'!A:B,2,FALSE),"")</f>
        <v/>
      </c>
      <c r="J13" s="4">
        <v>0.10000000000000001</v>
      </c>
      <c r="K13" s="4">
        <v>12</v>
      </c>
      <c r="L13" s="4">
        <v>18</v>
      </c>
    </row>
    <row r="14" ht="14.25">
      <c r="H14" s="2" t="s">
        <v>39</v>
      </c>
      <c r="I14" s="2" t="str">
        <f>IFERROR(VLOOKUP(H14,'2. Product Variants Export'!A:B,2,FALSE),"")</f>
        <v/>
      </c>
      <c r="J14" s="4">
        <v>0.02</v>
      </c>
      <c r="K14" s="4">
        <v>30</v>
      </c>
      <c r="L14" s="4">
        <v>45</v>
      </c>
    </row>
    <row r="15" ht="14.25">
      <c r="H15" s="2" t="s">
        <v>19</v>
      </c>
      <c r="I15" s="2" t="str">
        <f>IFERROR(VLOOKUP(H15,'2. Product Variants Export'!A:B,2,FALSE),"")</f>
        <v/>
      </c>
      <c r="J15" s="4">
        <v>1</v>
      </c>
      <c r="K15" s="4">
        <v>30</v>
      </c>
      <c r="L15" s="4">
        <v>50</v>
      </c>
    </row>
    <row r="16" ht="14.25">
      <c r="H16" s="2"/>
      <c r="I16" s="6"/>
    </row>
    <row r="17" ht="14.25">
      <c r="H17" s="2"/>
      <c r="I17" s="6"/>
    </row>
    <row r="18" ht="14.25">
      <c r="H18" s="2"/>
      <c r="I18" s="6"/>
    </row>
    <row r="19" ht="14.25">
      <c r="H19" s="2"/>
      <c r="I19" s="6"/>
    </row>
    <row r="20" ht="14.25">
      <c r="H20" s="2"/>
      <c r="I20" s="6"/>
    </row>
    <row r="21" ht="14.25">
      <c r="H21" s="2"/>
      <c r="I21" s="6"/>
    </row>
    <row r="22" ht="14.25">
      <c r="H22" s="2"/>
      <c r="I22" s="6"/>
    </row>
    <row r="23" ht="14.25">
      <c r="H23" s="2"/>
      <c r="I23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7109375"/>
    <col customWidth="1" min="2" max="2" width="39.57421875"/>
  </cols>
  <sheetData>
    <row r="1" ht="14.25">
      <c r="A1" s="1" t="s">
        <v>0</v>
      </c>
      <c r="B1" s="1" t="s">
        <v>45</v>
      </c>
    </row>
    <row r="2" ht="14.25">
      <c r="A2" s="2" t="s">
        <v>12</v>
      </c>
      <c r="B2" s="2" t="s">
        <v>59</v>
      </c>
    </row>
    <row r="3" ht="14.25">
      <c r="A3" s="2" t="s">
        <v>20</v>
      </c>
      <c r="B3" s="2" t="s">
        <v>60</v>
      </c>
    </row>
    <row r="4" ht="14.25">
      <c r="A4" s="2" t="s">
        <v>61</v>
      </c>
      <c r="B4" s="2" t="s">
        <v>62</v>
      </c>
    </row>
    <row r="5" ht="14.25">
      <c r="A5" s="2" t="s">
        <v>18</v>
      </c>
      <c r="B5" s="2" t="s">
        <v>63</v>
      </c>
    </row>
    <row r="6" ht="14.25">
      <c r="A6" s="2" t="s">
        <v>64</v>
      </c>
      <c r="B6" s="2" t="s">
        <v>65</v>
      </c>
    </row>
    <row r="7" ht="14.25">
      <c r="A7" s="2" t="s">
        <v>66</v>
      </c>
      <c r="B7" s="2" t="s">
        <v>67</v>
      </c>
    </row>
    <row r="8" ht="14.25">
      <c r="A8" s="2" t="s">
        <v>68</v>
      </c>
      <c r="B8" s="2" t="s">
        <v>69</v>
      </c>
    </row>
    <row r="9" ht="14.25">
      <c r="A9" s="2" t="s">
        <v>70</v>
      </c>
      <c r="B9" s="2" t="s">
        <v>71</v>
      </c>
    </row>
    <row r="10" ht="14.25">
      <c r="A10" s="2" t="s">
        <v>72</v>
      </c>
      <c r="B10" s="2" t="s">
        <v>73</v>
      </c>
    </row>
    <row r="11" ht="14.25">
      <c r="A11" s="2" t="s">
        <v>74</v>
      </c>
      <c r="B11" s="2" t="s">
        <v>75</v>
      </c>
    </row>
    <row r="12" ht="14.25">
      <c r="A12" s="2" t="s">
        <v>38</v>
      </c>
      <c r="B12" s="2" t="s">
        <v>76</v>
      </c>
    </row>
    <row r="13" ht="14.25">
      <c r="A13" s="2" t="s">
        <v>77</v>
      </c>
      <c r="B13" s="2" t="s">
        <v>78</v>
      </c>
    </row>
    <row r="14" ht="14.25">
      <c r="A14" s="2" t="s">
        <v>26</v>
      </c>
      <c r="B14" s="2" t="s">
        <v>79</v>
      </c>
    </row>
    <row r="15" ht="14.25">
      <c r="A15" s="2" t="s">
        <v>80</v>
      </c>
      <c r="B15" s="2" t="s">
        <v>81</v>
      </c>
    </row>
    <row r="16" ht="14.25">
      <c r="A16" s="2" t="s">
        <v>23</v>
      </c>
      <c r="B16" s="2" t="s">
        <v>82</v>
      </c>
    </row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2025-10-14T07:50:12Z</dcterms:created>
  <dcterms:modified xsi:type="dcterms:W3CDTF">2025-10-14T10:03:21Z</dcterms:modified>
</cp:coreProperties>
</file>